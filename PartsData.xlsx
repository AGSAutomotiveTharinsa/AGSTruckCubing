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2mgmt-my.sharepoint.com/personal/tharinsaw_agsautomotive_com/Documents/"/>
    </mc:Choice>
  </mc:AlternateContent>
  <xr:revisionPtr revIDLastSave="0" documentId="8_{0C4DFBDD-9226-451A-89DF-C94C80DF73E0}" xr6:coauthVersionLast="47" xr6:coauthVersionMax="47" xr10:uidLastSave="{00000000-0000-0000-0000-000000000000}"/>
  <bookViews>
    <workbookView xWindow="-28920" yWindow="-1305" windowWidth="29040" windowHeight="15720" xr2:uid="{89E3ABAF-5405-466C-B77B-506958681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<sst xmlns="http://schemas.openxmlformats.org/spreadsheetml/2006/main" count="53" uniqueCount="36">
  <si>
    <t>PartName</t>
  </si>
  <si>
    <t>MaxPartsPerContainer</t>
  </si>
  <si>
    <t>ContainerType</t>
  </si>
  <si>
    <t>ContainerLength</t>
  </si>
  <si>
    <t>ContainerWidth</t>
  </si>
  <si>
    <t>ContainerHeight</t>
  </si>
  <si>
    <t>GrossWeight</t>
  </si>
  <si>
    <t>GM1121ACA</t>
  </si>
  <si>
    <t>*PLA405</t>
  </si>
  <si>
    <t>GM1122ACA</t>
  </si>
  <si>
    <t>GM286YBA</t>
  </si>
  <si>
    <t>*GM5131</t>
  </si>
  <si>
    <t>GM286EBA/FBA</t>
  </si>
  <si>
    <t>*CC3A</t>
  </si>
  <si>
    <t>GM1100CBA</t>
  </si>
  <si>
    <t>*AGS1091</t>
  </si>
  <si>
    <t>GM1100DBA</t>
  </si>
  <si>
    <t>GM1110CCA</t>
  </si>
  <si>
    <t>GM1110DCA</t>
  </si>
  <si>
    <t>FC1100JAA-STMP</t>
  </si>
  <si>
    <t>*AGS1010</t>
  </si>
  <si>
    <t>FC1226CBA-WELD</t>
  </si>
  <si>
    <t>FC1226DBA-WELD</t>
  </si>
  <si>
    <t>FC1227ECA-WELD</t>
  </si>
  <si>
    <t>FC1227FCA-WELD</t>
  </si>
  <si>
    <t>GM1123ABB</t>
  </si>
  <si>
    <t>GM1124ABB</t>
  </si>
  <si>
    <t>GM1130ECA</t>
  </si>
  <si>
    <t>*28850</t>
  </si>
  <si>
    <t>GM1130FCA</t>
  </si>
  <si>
    <t>CV2440FAA</t>
  </si>
  <si>
    <t>CV2440GAA</t>
  </si>
  <si>
    <t>GM2430UAA</t>
  </si>
  <si>
    <t>GM2430IAA</t>
  </si>
  <si>
    <t>GM2200EAA</t>
  </si>
  <si>
    <t>GM2200FAA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</si>
</sst>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2" fillId="2" borderId="2" xfId="1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2">
    <cellStyle name="Good" xfId="1" builtinId="26"/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18149-0A67-4D2D-B7A6-0CF7811116FB}" name="PartsCatalog" displayName="PartsCatalog" ref="A1:G24" totalsRowShown="0" headerRowDxfId="8" tableBorderDxfId="7" headerRowCellStyle="Good">
  <autoFilter ref="A1:G24" xr:uid="{86418149-0A67-4D2D-B7A6-0CF7811116FB}"/>
  <tableColumns count="7">
    <tableColumn id="1" xr3:uid="{7CB72FA2-0EF1-408E-A784-F510E38D2800}" name="PartName" dataDxfId="6"/>
    <tableColumn id="2" xr3:uid="{1CA68E68-EFA4-4544-92FC-6BE432A33213}" name="MaxPartsPerContainer" dataDxfId="5"/>
    <tableColumn id="3" xr3:uid="{E60779EB-C5DF-4358-826C-40907B82C8AF}" name="ContainerType" dataDxfId="4"/>
    <tableColumn id="4" xr3:uid="{3FA8B11D-BB28-4F39-B7EE-765A1ACC57C6}" name="ContainerLength" dataDxfId="3"/>
    <tableColumn id="5" xr3:uid="{E7F64936-6396-4B07-A0A4-8C60F1AA6C05}" name="ContainerWidth" dataDxfId="2"/>
    <tableColumn id="6" xr3:uid="{76EFFBDC-2C8E-4A42-88F6-68781C66BAE9}" name="ContainerHeight" dataDxfId="1"/>
    <tableColumn id="7" xr3:uid="{71AC251B-3E6F-435E-91E5-750B6415DA47}" name="GrossW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97F8-5D18-4314-A723-3C244D9933C7}">
  <dimension ref="A1:G24"/>
  <sheetViews>
    <sheetView tabSelected="1" workbookViewId="0">
      <selection activeCell="K13" sqref="K13"/>
    </sheetView>
  </sheetViews>
  <sheetFormatPr defaultRowHeight="14.4" x14ac:dyDescent="0.3"/>
  <cols>
    <col min="1" max="1" width="14.33203125" customWidth="1"/>
    <col min="2" max="2" width="18.44140625" customWidth="1"/>
    <col min="3" max="3" width="21.6640625" customWidth="1"/>
    <col min="4" max="4" width="19" customWidth="1"/>
    <col min="5" max="5" width="14.77734375" customWidth="1"/>
    <col min="6" max="6" width="15.5546875" customWidth="1"/>
    <col min="7" max="7" width="17.88671875" customWidth="1"/>
  </cols>
  <sheetData>
    <row r="1" spans="1:7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8</v>
      </c>
      <c r="C2" s="4" t="s">
        <v>8</v>
      </c>
      <c r="D2" s="4">
        <v>48</v>
      </c>
      <c r="E2" s="4">
        <v>45</v>
      </c>
      <c r="F2" s="4">
        <v>38</v>
      </c>
      <c r="G2" s="5">
        <f>(1640/336)+(1546/672)</f>
        <v>7.1815476190476195</v>
      </c>
    </row>
    <row r="3" spans="1:7" x14ac:dyDescent="0.3">
      <c r="A3" s="3" t="s">
        <v>9</v>
      </c>
      <c r="B3" s="4">
        <v>8</v>
      </c>
      <c r="C3" s="4" t="s">
        <v>8</v>
      </c>
      <c r="D3" s="4">
        <v>48</v>
      </c>
      <c r="E3" s="4">
        <v>45</v>
      </c>
      <c r="F3" s="4">
        <v>38</v>
      </c>
      <c r="G3" s="5">
        <f>(1640/336)+(1546/672)</f>
        <v>7.1815476190476195</v>
      </c>
    </row>
    <row r="4" spans="1:7" x14ac:dyDescent="0.3">
      <c r="A4" s="3" t="s">
        <v>10</v>
      </c>
      <c r="B4" s="4">
        <v>1</v>
      </c>
      <c r="C4" s="4" t="s">
        <v>11</v>
      </c>
      <c r="D4" s="4">
        <v>54</v>
      </c>
      <c r="E4" s="4">
        <v>44</v>
      </c>
      <c r="F4" s="4">
        <v>46</v>
      </c>
      <c r="G4" s="5">
        <f>4745/3650</f>
        <v>1.3</v>
      </c>
    </row>
    <row r="5" spans="1:7" x14ac:dyDescent="0.3">
      <c r="A5" s="3" t="s">
        <v>12</v>
      </c>
      <c r="B5" s="4">
        <v>1</v>
      </c>
      <c r="C5" s="4" t="s">
        <v>13</v>
      </c>
      <c r="D5" s="4">
        <v>55</v>
      </c>
      <c r="E5" s="4">
        <v>44</v>
      </c>
      <c r="F5" s="4">
        <v>40</v>
      </c>
      <c r="G5" s="5">
        <f>1200/1500</f>
        <v>0.8</v>
      </c>
    </row>
    <row r="6" spans="1:7" x14ac:dyDescent="0.3">
      <c r="A6" s="3" t="s">
        <v>14</v>
      </c>
      <c r="B6" s="4">
        <v>1</v>
      </c>
      <c r="C6" s="4" t="s">
        <v>15</v>
      </c>
      <c r="D6" s="4">
        <v>62</v>
      </c>
      <c r="E6" s="4">
        <v>48</v>
      </c>
      <c r="F6" s="4">
        <v>50</v>
      </c>
      <c r="G6" s="5">
        <f>4113/2016</f>
        <v>2.0401785714285716</v>
      </c>
    </row>
    <row r="7" spans="1:7" x14ac:dyDescent="0.3">
      <c r="A7" s="3" t="s">
        <v>16</v>
      </c>
      <c r="B7" s="4">
        <v>1</v>
      </c>
      <c r="C7" s="4" t="s">
        <v>15</v>
      </c>
      <c r="D7" s="4">
        <v>62</v>
      </c>
      <c r="E7" s="4">
        <v>48</v>
      </c>
      <c r="F7" s="4">
        <v>50</v>
      </c>
      <c r="G7" s="5">
        <f>4113/2016</f>
        <v>2.0401785714285716</v>
      </c>
    </row>
    <row r="8" spans="1:7" x14ac:dyDescent="0.3">
      <c r="A8" s="3" t="s">
        <v>17</v>
      </c>
      <c r="B8" s="4">
        <v>1</v>
      </c>
      <c r="C8" s="4" t="s">
        <v>15</v>
      </c>
      <c r="D8" s="4">
        <v>62</v>
      </c>
      <c r="E8" s="4">
        <v>48</v>
      </c>
      <c r="F8" s="4">
        <v>50</v>
      </c>
      <c r="G8" s="5">
        <f>1120/448</f>
        <v>2.5</v>
      </c>
    </row>
    <row r="9" spans="1:7" x14ac:dyDescent="0.3">
      <c r="A9" s="3" t="s">
        <v>18</v>
      </c>
      <c r="B9" s="4">
        <v>1</v>
      </c>
      <c r="C9" s="4" t="s">
        <v>15</v>
      </c>
      <c r="D9" s="4">
        <v>62</v>
      </c>
      <c r="E9" s="4">
        <v>48</v>
      </c>
      <c r="F9" s="4">
        <v>50</v>
      </c>
      <c r="G9" s="5">
        <f>1120/448</f>
        <v>2.5</v>
      </c>
    </row>
    <row r="10" spans="1:7" x14ac:dyDescent="0.3">
      <c r="A10" s="3" t="s">
        <v>19</v>
      </c>
      <c r="B10" s="4">
        <v>800</v>
      </c>
      <c r="C10" s="4" t="s">
        <v>20</v>
      </c>
      <c r="D10" s="4">
        <v>48</v>
      </c>
      <c r="E10" s="4">
        <v>45</v>
      </c>
      <c r="F10" s="4">
        <v>34</v>
      </c>
      <c r="G10" s="5">
        <f>1360+187</f>
        <v>1547</v>
      </c>
    </row>
    <row r="11" spans="1:7" x14ac:dyDescent="0.3">
      <c r="A11" s="3" t="s">
        <v>21</v>
      </c>
      <c r="B11" s="4">
        <v>48</v>
      </c>
      <c r="C11" s="4" t="s">
        <v>20</v>
      </c>
      <c r="D11" s="4">
        <v>48</v>
      </c>
      <c r="E11" s="4">
        <v>45</v>
      </c>
      <c r="F11" s="4">
        <v>34</v>
      </c>
      <c r="G11" s="5">
        <f>120+(2366/13)</f>
        <v>302</v>
      </c>
    </row>
    <row r="12" spans="1:7" x14ac:dyDescent="0.3">
      <c r="A12" s="3" t="s">
        <v>22</v>
      </c>
      <c r="B12" s="4">
        <v>48</v>
      </c>
      <c r="C12" s="4" t="s">
        <v>20</v>
      </c>
      <c r="D12" s="4">
        <v>48</v>
      </c>
      <c r="E12" s="4">
        <v>45</v>
      </c>
      <c r="F12" s="4">
        <v>34</v>
      </c>
      <c r="G12" s="5">
        <f>120+(2366/13)</f>
        <v>302</v>
      </c>
    </row>
    <row r="13" spans="1:7" x14ac:dyDescent="0.3">
      <c r="A13" s="3" t="s">
        <v>23</v>
      </c>
      <c r="B13" s="4"/>
      <c r="C13" s="4" t="s">
        <v>20</v>
      </c>
      <c r="D13" s="4">
        <v>48</v>
      </c>
      <c r="E13" s="4">
        <v>45</v>
      </c>
      <c r="F13" s="4">
        <v>34</v>
      </c>
      <c r="G13" s="5"/>
    </row>
    <row r="14" spans="1:7" x14ac:dyDescent="0.3">
      <c r="A14" s="3" t="s">
        <v>24</v>
      </c>
      <c r="B14" s="4"/>
      <c r="C14" s="4" t="s">
        <v>20</v>
      </c>
      <c r="D14" s="4">
        <v>48</v>
      </c>
      <c r="E14" s="4">
        <v>45</v>
      </c>
      <c r="F14" s="4">
        <v>34</v>
      </c>
      <c r="G14" s="5"/>
    </row>
    <row r="15" spans="1:7" x14ac:dyDescent="0.3">
      <c r="A15" s="3" t="s">
        <v>25</v>
      </c>
      <c r="B15" s="4"/>
      <c r="C15" s="4" t="s">
        <v>8</v>
      </c>
      <c r="D15" s="4">
        <v>48</v>
      </c>
      <c r="E15" s="4">
        <v>45</v>
      </c>
      <c r="F15" s="4">
        <v>38</v>
      </c>
      <c r="G15" s="5"/>
    </row>
    <row r="16" spans="1:7" x14ac:dyDescent="0.3">
      <c r="A16" s="3" t="s">
        <v>26</v>
      </c>
      <c r="B16" s="4"/>
      <c r="C16" s="4" t="s">
        <v>8</v>
      </c>
      <c r="D16" s="4">
        <v>48</v>
      </c>
      <c r="E16" s="4">
        <v>45</v>
      </c>
      <c r="F16" s="4">
        <v>38</v>
      </c>
      <c r="G16" s="5"/>
    </row>
    <row r="17" spans="1:7" x14ac:dyDescent="0.3">
      <c r="A17" s="3" t="s">
        <v>27</v>
      </c>
      <c r="B17" s="4"/>
      <c r="C17" s="4" t="s">
        <v>28</v>
      </c>
      <c r="D17" s="4">
        <v>36</v>
      </c>
      <c r="E17" s="4">
        <v>48</v>
      </c>
      <c r="F17" s="4">
        <v>36</v>
      </c>
      <c r="G17" s="5"/>
    </row>
    <row r="18" spans="1:7" x14ac:dyDescent="0.3">
      <c r="A18" s="3" t="s">
        <v>29</v>
      </c>
      <c r="B18" s="4"/>
      <c r="C18" s="4" t="s">
        <v>28</v>
      </c>
      <c r="D18" s="4">
        <v>36</v>
      </c>
      <c r="E18" s="4">
        <v>48</v>
      </c>
      <c r="F18" s="4">
        <v>36</v>
      </c>
      <c r="G18" s="5"/>
    </row>
    <row r="19" spans="1:7" x14ac:dyDescent="0.3">
      <c r="A19" s="3" t="s">
        <v>30</v>
      </c>
      <c r="B19" s="4"/>
      <c r="C19" s="4" t="s">
        <v>28</v>
      </c>
      <c r="D19" s="4">
        <v>36</v>
      </c>
      <c r="E19" s="4">
        <v>48</v>
      </c>
      <c r="F19" s="4">
        <v>36</v>
      </c>
      <c r="G19" s="5"/>
    </row>
    <row r="20" spans="1:7" x14ac:dyDescent="0.3">
      <c r="A20" s="3" t="s">
        <v>31</v>
      </c>
      <c r="B20" s="4"/>
      <c r="C20" s="4" t="s">
        <v>28</v>
      </c>
      <c r="D20" s="4">
        <v>36</v>
      </c>
      <c r="E20" s="4">
        <v>48</v>
      </c>
      <c r="F20" s="4">
        <v>36</v>
      </c>
      <c r="G20" s="5"/>
    </row>
    <row r="21" spans="1:7" x14ac:dyDescent="0.3">
      <c r="A21" s="3" t="s">
        <v>32</v>
      </c>
      <c r="B21" s="4">
        <v>2000</v>
      </c>
      <c r="C21" s="4" t="s">
        <v>28</v>
      </c>
      <c r="D21" s="4">
        <v>36</v>
      </c>
      <c r="E21" s="4">
        <v>48</v>
      </c>
      <c r="F21" s="4">
        <v>36</v>
      </c>
      <c r="G21" s="5">
        <f>1000+(520/5)</f>
        <v>1104</v>
      </c>
    </row>
    <row r="22" spans="1:7" x14ac:dyDescent="0.3">
      <c r="A22" s="3" t="s">
        <v>33</v>
      </c>
      <c r="B22" s="4">
        <v>2000</v>
      </c>
      <c r="C22" s="4" t="s">
        <v>28</v>
      </c>
      <c r="D22" s="4">
        <v>36</v>
      </c>
      <c r="E22" s="4">
        <v>48</v>
      </c>
      <c r="F22" s="4">
        <v>36</v>
      </c>
      <c r="G22" s="5">
        <f>1000+(520/5)</f>
        <v>1104</v>
      </c>
    </row>
    <row r="23" spans="1:7" x14ac:dyDescent="0.3">
      <c r="A23" s="3" t="s">
        <v>34</v>
      </c>
      <c r="B23" s="4">
        <v>1500</v>
      </c>
      <c r="C23" s="4" t="s">
        <v>28</v>
      </c>
      <c r="D23" s="4">
        <v>36</v>
      </c>
      <c r="E23" s="4">
        <v>48</v>
      </c>
      <c r="F23" s="4">
        <v>36</v>
      </c>
      <c r="G23" s="5">
        <f>959+(520/5)</f>
        <v>1063</v>
      </c>
    </row>
    <row r="24" spans="1:7" x14ac:dyDescent="0.3">
      <c r="A24" s="6" t="s">
        <v>35</v>
      </c>
      <c r="B24" s="7">
        <v>1500</v>
      </c>
      <c r="C24" s="7" t="s">
        <v>28</v>
      </c>
      <c r="D24" s="4">
        <v>36</v>
      </c>
      <c r="E24" s="4">
        <v>48</v>
      </c>
      <c r="F24" s="4">
        <v>36</v>
      </c>
      <c r="G24" s="8">
        <f>959+(520/5)</f>
        <v>1063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Tharinsa Withanage</dc:creator>
  <cp:lastModifiedBy>Tharinsa Withanage</cp:lastModifiedBy>
  <dcterms:created xsi:type="dcterms:W3CDTF">2026-08-26T19:44:08Z</dcterms:created>
  <dcterms:modified xsi:type="dcterms:W3CDTF">2026-08-26T19:44:35Z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5ba919-70ae-47c0-96bd-ae7bcdcd1285_Enabled">
    <vt:lpwstr>true</vt:lpwstr>
  </property>
  <property fmtid="{D5CDD505-2E9C-101B-9397-08002B2CF9AE}" pid="3" name="MSIP_Label_685ba919-70ae-47c0-96bd-ae7bcdcd1285_SetDate">
    <vt:lpwstr>2026-08-26T19:44:24Z</vt:lpwstr>
  </property>
  <property fmtid="{D5CDD505-2E9C-101B-9397-08002B2CF9AE}" pid="4" name="MSIP_Label_685ba919-70ae-47c0-96bd-ae7bcdcd1285_Method">
    <vt:lpwstr>Standard</vt:lpwstr>
  </property>
  <property fmtid="{D5CDD505-2E9C-101B-9397-08002B2CF9AE}" pid="5" name="MSIP_Label_685ba919-70ae-47c0-96bd-ae7bcdcd1285_Name">
    <vt:lpwstr>Internal</vt:lpwstr>
  </property>
  <property fmtid="{D5CDD505-2E9C-101B-9397-08002B2CF9AE}" pid="6" name="MSIP_Label_685ba919-70ae-47c0-96bd-ae7bcdcd1285_SiteId">
    <vt:lpwstr>9b2f9cbe-865b-4df8-a584-8494d8c1eff6</vt:lpwstr>
  </property>
  <property fmtid="{D5CDD505-2E9C-101B-9397-08002B2CF9AE}" pid="7" name="MSIP_Label_685ba919-70ae-47c0-96bd-ae7bcdcd1285_ActionId">
    <vt:lpwstr>90b6b8a6-e9e0-4d8f-b150-1aa489a7af17</vt:lpwstr>
  </property>
  <property fmtid="{D5CDD505-2E9C-101B-9397-08002B2CF9AE}" pid="8" name="MSIP_Label_685ba919-70ae-47c0-96bd-ae7bcdcd1285_ContentBits">
    <vt:lpwstr>0</vt:lpwstr>
  </property>
  <property fmtid="{D5CDD505-2E9C-101B-9397-08002B2CF9AE}" pid="9" name="MSIP_Label_685ba919-70ae-47c0-96bd-ae7bcdcd1285_Tag">
    <vt:lpwstr>10, 3, 0, 1</vt:lpwstr>
  </property>
</Properties>
</file>